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an\Desktop\SingleEsc\SingleEsc\"/>
    </mc:Choice>
  </mc:AlternateContent>
  <xr:revisionPtr revIDLastSave="0" documentId="8_{5D884E3F-1699-49F8-805D-8E942B5B3431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tückliste" sheetId="1" r:id="rId1"/>
    <sheet name="Hinweis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2" i="1" l="1"/>
</calcChain>
</file>

<file path=xl/sharedStrings.xml><?xml version="1.0" encoding="utf-8"?>
<sst xmlns="http://schemas.openxmlformats.org/spreadsheetml/2006/main" count="415" uniqueCount="247">
  <si>
    <t>Pos.</t>
  </si>
  <si>
    <t>Kategorie</t>
  </si>
  <si>
    <t>Referenz</t>
  </si>
  <si>
    <t>Wert</t>
  </si>
  <si>
    <t>Spannung</t>
  </si>
  <si>
    <t>Gehäuse / Footprint</t>
  </si>
  <si>
    <t>Hersteller-Teilenr.</t>
  </si>
  <si>
    <t>Anzahl</t>
  </si>
  <si>
    <t>Bemerkung</t>
  </si>
  <si>
    <t>Halbleiter (Aktive Bauteile)</t>
  </si>
  <si>
    <t>Halbleiter</t>
  </si>
  <si>
    <t>U2</t>
  </si>
  <si>
    <t>STM32G431CBT6</t>
  </si>
  <si>
    <t>-</t>
  </si>
  <si>
    <t>LQFP-48 (7×7 mm)</t>
  </si>
  <si>
    <t>Hauptmikrocontroller</t>
  </si>
  <si>
    <t>U18</t>
  </si>
  <si>
    <t>DRV8353S</t>
  </si>
  <si>
    <t>WQFN-40 (6×6 mm, EP)</t>
  </si>
  <si>
    <t>DRV8353SRTAR</t>
  </si>
  <si>
    <t>Gate-Treiber, mit SPI</t>
  </si>
  <si>
    <t>U1</t>
  </si>
  <si>
    <t>LMR33630ADDA</t>
  </si>
  <si>
    <t>HSOIC-8 PowerPad</t>
  </si>
  <si>
    <t>LMR33630ADDAR</t>
  </si>
  <si>
    <t>3,3-V Buck-Konverter, 400 kHz</t>
  </si>
  <si>
    <t>U11–U17</t>
  </si>
  <si>
    <t>BSC010N04LSI</t>
  </si>
  <si>
    <t>40 V</t>
  </si>
  <si>
    <t>TDSON-8</t>
  </si>
  <si>
    <t>BSC010N04LSIATMA1</t>
  </si>
  <si>
    <t>Power-MOSFETs Half-Bridge (3× HS, 3× LS)</t>
  </si>
  <si>
    <t>U12</t>
  </si>
  <si>
    <t>Verpolschutz-FET</t>
  </si>
  <si>
    <t>D1</t>
  </si>
  <si>
    <t>BZT52C15</t>
  </si>
  <si>
    <t>15 V</t>
  </si>
  <si>
    <t>SOD-123</t>
  </si>
  <si>
    <t>BZT52C15-7-F</t>
  </si>
  <si>
    <t>Zenerdiode (Verpolschutz Gate-Schutz)</t>
  </si>
  <si>
    <t>D2</t>
  </si>
  <si>
    <t>BAT54W</t>
  </si>
  <si>
    <t>30 V</t>
  </si>
  <si>
    <t>BAT54W-7-F</t>
  </si>
  <si>
    <t>Schottky-Diode (3,3-V-Backfeed-Schutz)</t>
  </si>
  <si>
    <t>Induktivität</t>
  </si>
  <si>
    <t>L1</t>
  </si>
  <si>
    <t>6,8 µH</t>
  </si>
  <si>
    <t>SMD 5×5 oder 6×6 mm</t>
  </si>
  <si>
    <t>Würth 74437346068</t>
  </si>
  <si>
    <t>I_sat ≥ 4,5 A, geschirmt, für Buck-Konverter</t>
  </si>
  <si>
    <t>Strom-Mess-Shunts</t>
  </si>
  <si>
    <t>Shunt</t>
  </si>
  <si>
    <t>R2, R3, R12</t>
  </si>
  <si>
    <t>3 mΩ</t>
  </si>
  <si>
    <t>2512 (3-W-Klasse)</t>
  </si>
  <si>
    <t>CSS2H-2512K-L1L00FE</t>
  </si>
  <si>
    <t>Strommessung, Bourns oder Vishay WSL2512R0030FEA</t>
  </si>
  <si>
    <t>Widerstände 0603 (1%, X7R-Klasse)</t>
  </si>
  <si>
    <t>Widerstand</t>
  </si>
  <si>
    <t>R1</t>
  </si>
  <si>
    <t>100 kΩ</t>
  </si>
  <si>
    <t>0603</t>
  </si>
  <si>
    <t>RC0603FR-07100KL</t>
  </si>
  <si>
    <t>DRV ENABLE-Pulldown</t>
  </si>
  <si>
    <t>R4</t>
  </si>
  <si>
    <t>10 kΩ</t>
  </si>
  <si>
    <t>RC0603FR-0710KL</t>
  </si>
  <si>
    <t>nFAULT Pull-Up</t>
  </si>
  <si>
    <t>R5</t>
  </si>
  <si>
    <t>1 kΩ</t>
  </si>
  <si>
    <t>RC0603FR-071KL</t>
  </si>
  <si>
    <t>SDO-Widerstand</t>
  </si>
  <si>
    <t>R13</t>
  </si>
  <si>
    <t>ENABLE-Serienwiderstand</t>
  </si>
  <si>
    <t>R14</t>
  </si>
  <si>
    <t>DShot-Pulldown</t>
  </si>
  <si>
    <t>R15</t>
  </si>
  <si>
    <t>ENABLE-Pulldown am MCU</t>
  </si>
  <si>
    <t>R17</t>
  </si>
  <si>
    <t>BOOT-Pulldown</t>
  </si>
  <si>
    <t>R20</t>
  </si>
  <si>
    <t>nSCS Pull-Up</t>
  </si>
  <si>
    <t>R28</t>
  </si>
  <si>
    <t>Verpolschutz Gate-Pullup</t>
  </si>
  <si>
    <t>R_GS_HA-LC</t>
  </si>
  <si>
    <t>Gate-Source-Pulldowns an FETs (1× pro FET)</t>
  </si>
  <si>
    <t>R_F_A-C</t>
  </si>
  <si>
    <t>100 Ω</t>
  </si>
  <si>
    <t>RC0603FR-07100RL</t>
  </si>
  <si>
    <t>DRV-Strom-Filter (R35, R36, R37)</t>
  </si>
  <si>
    <t>R_Gate</t>
  </si>
  <si>
    <t>10 Ω</t>
  </si>
  <si>
    <t>RC0603FR-0710RL</t>
  </si>
  <si>
    <t>Gate-Widerstände an FETs (zwischen DRV und Gate)</t>
  </si>
  <si>
    <t>R_DShot</t>
  </si>
  <si>
    <t>DShot-Schutzwiderstand</t>
  </si>
  <si>
    <t>R_VDDA</t>
  </si>
  <si>
    <t>VDDA-Filter (LC zu MCU-VDDA)</t>
  </si>
  <si>
    <t>R21, R23, R25, R27</t>
  </si>
  <si>
    <t>39 kΩ</t>
  </si>
  <si>
    <t>RC0603FR-0739KL</t>
  </si>
  <si>
    <t>BEMF/VBAT-Teiler R_top</t>
  </si>
  <si>
    <t>R16, R22, R24, R26</t>
  </si>
  <si>
    <t>6,8 kΩ</t>
  </si>
  <si>
    <t>RC0603FR-076K8L</t>
  </si>
  <si>
    <t>BEMF/VBAT-Teiler R_bot</t>
  </si>
  <si>
    <t>Rfbt</t>
  </si>
  <si>
    <t>Buck Feedback (LMR33630)</t>
  </si>
  <si>
    <t>Rfbb</t>
  </si>
  <si>
    <t>43,2 kΩ</t>
  </si>
  <si>
    <t>RC0603FR-0743K2L</t>
  </si>
  <si>
    <t>Kondensatoren - Keramik X7R</t>
  </si>
  <si>
    <t>Kondensator</t>
  </si>
  <si>
    <t>C1</t>
  </si>
  <si>
    <t>4,7 µF</t>
  </si>
  <si>
    <t>25 V</t>
  </si>
  <si>
    <t>0805 X7R</t>
  </si>
  <si>
    <t>GRM21BR71E475KA73L</t>
  </si>
  <si>
    <t>MCU-Bulk</t>
  </si>
  <si>
    <t>C4</t>
  </si>
  <si>
    <t>1 µF</t>
  </si>
  <si>
    <t>16 V</t>
  </si>
  <si>
    <t>0603 X7R</t>
  </si>
  <si>
    <t>GRM188R71C105KA12D</t>
  </si>
  <si>
    <t>DRV-VREF (auf GNDA)</t>
  </si>
  <si>
    <t>C5, C7</t>
  </si>
  <si>
    <t>GRM188R71E105KA12D</t>
  </si>
  <si>
    <t>DRV-DVDD (C5), DRV-VGLS (C7)</t>
  </si>
  <si>
    <t>C6</t>
  </si>
  <si>
    <t>47 nF</t>
  </si>
  <si>
    <t>GRM188R71E473KA01D</t>
  </si>
  <si>
    <t>DRV-Charge-Pump CPL/CPH</t>
  </si>
  <si>
    <t>C8</t>
  </si>
  <si>
    <t>DRV-VCP</t>
  </si>
  <si>
    <t>C9</t>
  </si>
  <si>
    <t>100 nF</t>
  </si>
  <si>
    <t>GRM188R71E104KA01D</t>
  </si>
  <si>
    <t>VAkku-Bypass HF</t>
  </si>
  <si>
    <t>C10</t>
  </si>
  <si>
    <t>VAkku-Bypass mittel</t>
  </si>
  <si>
    <t>C11 (10µ)</t>
  </si>
  <si>
    <t>10 µF</t>
  </si>
  <si>
    <t>1210 X7R</t>
  </si>
  <si>
    <t>GRM32ER71E106KA12L</t>
  </si>
  <si>
    <t>VAkku-Bypass mittel (Bulk-Stack)</t>
  </si>
  <si>
    <t>C12, C13, C14</t>
  </si>
  <si>
    <t>Half-Bridge-Bypass (1× pro Phase)</t>
  </si>
  <si>
    <t>C15</t>
  </si>
  <si>
    <t>GRM188R71C104KA01D</t>
  </si>
  <si>
    <t>NRST-Cap</t>
  </si>
  <si>
    <t>C16</t>
  </si>
  <si>
    <t>VDDA-Cap (auf GNDA)</t>
  </si>
  <si>
    <t>C17, C18, C19</t>
  </si>
  <si>
    <t>1 nF</t>
  </si>
  <si>
    <t>GRM188R71C102KA01D</t>
  </si>
  <si>
    <t>BEMF-Filter</t>
  </si>
  <si>
    <t>C20</t>
  </si>
  <si>
    <t>10 nF</t>
  </si>
  <si>
    <t>GRM188R71C103KA01D</t>
  </si>
  <si>
    <t>VBAT-Sense-Filter</t>
  </si>
  <si>
    <t>C21, C22, C23</t>
  </si>
  <si>
    <t>DRV-Strom-Filter</t>
  </si>
  <si>
    <t>CIN1</t>
  </si>
  <si>
    <t>50 V</t>
  </si>
  <si>
    <t>GRM32ER71H106KA12L</t>
  </si>
  <si>
    <t>Buck-Eingang</t>
  </si>
  <si>
    <t>CHF</t>
  </si>
  <si>
    <t>220 nF</t>
  </si>
  <si>
    <t>GRM188R71H224KA93D</t>
  </si>
  <si>
    <t>Buck-HF-Bypass am VIN</t>
  </si>
  <si>
    <t>CBOOT</t>
  </si>
  <si>
    <t>Buck-Bootstrap</t>
  </si>
  <si>
    <t>CVCC</t>
  </si>
  <si>
    <t>Buck-VCC</t>
  </si>
  <si>
    <t>COUT</t>
  </si>
  <si>
    <t>22 µF</t>
  </si>
  <si>
    <t>GRM32ER71C226KE15L</t>
  </si>
  <si>
    <t>Buck-Ausgang</t>
  </si>
  <si>
    <t>C_VDD24, C_VDD36, C_VDD48, C_VBAT</t>
  </si>
  <si>
    <t>MCU VDD/VBAT-Pin-Bypass</t>
  </si>
  <si>
    <t>Aluminium-Polymer Bulk-Elkos</t>
  </si>
  <si>
    <t>Bulk-Elko</t>
  </si>
  <si>
    <t>C2, C3</t>
  </si>
  <si>
    <t>470 µF</t>
  </si>
  <si>
    <t>25-35 V</t>
  </si>
  <si>
    <t>10×10 mm radial SMD</t>
  </si>
  <si>
    <t>EEH-ZA1V471P</t>
  </si>
  <si>
    <t>Polymer Low-ESR, Panasonic / Würth 875115342009</t>
  </si>
  <si>
    <t>Stecker</t>
  </si>
  <si>
    <t>J1</t>
  </si>
  <si>
    <t>PinHeader 3-pin 2,54 mm</t>
  </si>
  <si>
    <t>1×3, 2,54 mm Pitch</t>
  </si>
  <si>
    <t>61300311121</t>
  </si>
  <si>
    <t>DShot/FC-Anschluss (Würth oder generisch)</t>
  </si>
  <si>
    <t>J2</t>
  </si>
  <si>
    <t>Cortex SWD 10-Pin</t>
  </si>
  <si>
    <t>2×5, 1,27 mm Pitch</t>
  </si>
  <si>
    <t>FTSH-105-01-L-DV</t>
  </si>
  <si>
    <t>SWD-Programmieranschluss (Samtec o. ähnlich)</t>
  </si>
  <si>
    <t>J3</t>
  </si>
  <si>
    <t>XT60</t>
  </si>
  <si>
    <t>XT60 PCB-Mount</t>
  </si>
  <si>
    <t>XT60E-M</t>
  </si>
  <si>
    <t>Akku-Stecker (z. B. Amass XT60E-M)</t>
  </si>
  <si>
    <t>ZUSAMMENFASSUNG</t>
  </si>
  <si>
    <t>Bauteile gesamt:</t>
  </si>
  <si>
    <t>Hinweise zur Bestellung</t>
  </si>
  <si>
    <t>Allgemeines</t>
  </si>
  <si>
    <t>• Alle Widerstände 1% Toleranz, 0603 (sofern nicht anders angegeben)</t>
  </si>
  <si>
    <t>• Alle Keramikkondensatoren X7R-Klasse, sofern nicht anders angegeben</t>
  </si>
  <si>
    <t>• Spannungsfestigkeit der Kondensatoren immer mit Sicherheitsmarge wählen (typisch 2× Nennspannung)</t>
  </si>
  <si>
    <t>Bauteilreserven (empfohlen)</t>
  </si>
  <si>
    <t>• MOSFETs (BSC010N04LSI): +2 Stück Reserve (ESD-empfindlich)</t>
  </si>
  <si>
    <t>• Polymer-Elkos: +1 Stück Reserve</t>
  </si>
  <si>
    <t>• Standardwiderstände/-kondensatoren: ggf. Sortimentskit verwenden</t>
  </si>
  <si>
    <t>Spezielle Hinweise</t>
  </si>
  <si>
    <t>• Bulk-Elkos C2/C3: UNBEDINGT Aluminium-Polymer Low-ESR, kein klassischer Elko!</t>
  </si>
  <si>
    <t>• Buck-Eingang CIN1/CHF: 50V-Variante wegen 4S-Spikes (16,8V nominal + Transienten)</t>
  </si>
  <si>
    <t>• Strom-Shunts (3 mΩ): Belastbarkeit ≥3 W (besser 4 W)</t>
  </si>
  <si>
    <t>• Buck-Induktivität L1: I_sat ≥4,5 A (NICHT "Rated Current"!), geschirmte Bauform</t>
  </si>
  <si>
    <t>Lieferanten</t>
  </si>
  <si>
    <t>• Mouser Electronics: https://www.mouser.de</t>
  </si>
  <si>
    <t>• DigiKey: https://www.digikey.de</t>
  </si>
  <si>
    <t>• Reichelt: https://www.reichelt.de (für günstige Standardteile)</t>
  </si>
  <si>
    <t>• Würth Elektronik direkt (für L1, Stecker)</t>
  </si>
  <si>
    <t>KiCad Footprint-Bibliothek</t>
  </si>
  <si>
    <t>• LQFP-48: Package_QFP:LQFP-48_7x7mm_P0.5mm</t>
  </si>
  <si>
    <t>• WQFN-40 (DRV8353S): Package_DFN_QFN:WQFN-40-1EP_6x6mm_P0.5mm_EP3.6x3.6mm</t>
  </si>
  <si>
    <t>• HSOIC-8 PowerPad: Package_SO:HSOP-8-1EP_3.9x4.9mm_P1.27mm_EP2.41x3.3mm</t>
  </si>
  <si>
    <t>• TDSON-8 (BSC010N04LSI): Package_DFN_QFN:TDSON-8-1EP_3.3x3.3mm_P0.65mm</t>
  </si>
  <si>
    <t>• 0603: Resistor_SMD:R_0603_1608Metric / Capacitor_SMD:C_0603_1608Metric</t>
  </si>
  <si>
    <t>• 0805: Capacitor_SMD:C_0805_2012Metric</t>
  </si>
  <si>
    <t>• 1210: Capacitor_SMD:C_1210_3225Metric</t>
  </si>
  <si>
    <t>• 2512: Resistor_SMD:R_2512_6332Metric</t>
  </si>
  <si>
    <t>• SOD-123: Diode_SMD:D_SOD-123</t>
  </si>
  <si>
    <t>• XT60: ggf. selbst zeichnen oder von SnapEDA</t>
  </si>
  <si>
    <t>Status der Schaltung</t>
  </si>
  <si>
    <t>• BEMF-Sensing (3 Teiler + VBAT-Sense)</t>
  </si>
  <si>
    <t>• Verpolschutz (FET + Zener + Pullup)</t>
  </si>
  <si>
    <t>• Bulk-Cs (2× 470µ Polymer + 10µ + 1µ + 100n)</t>
  </si>
  <si>
    <t>• Buck-Konverter (LMR33630 komplett)</t>
  </si>
  <si>
    <t>• Schottky für externe 3,3V</t>
  </si>
  <si>
    <t>• Gate-Source-Pulldowns (6× 10kΩ)</t>
  </si>
  <si>
    <t>• DRV-Strom-Filter (3× 100Ω + 1nF)</t>
  </si>
  <si>
    <t>• MCU-VDD-Abblockkondensatoren (4× 100n + 4,7µ Bulk)</t>
  </si>
  <si>
    <t>• Stecker (Akku, FC, SWD)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</si>
</sst>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4"/>
      <color rgb="FF1F4E78"/>
      <name val="Arial"/>
      <charset val="1"/>
    </font>
    <font>
      <b/>
      <sz val="11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6" customWidth="1"/>
    <col min="2" max="3" width="22" customWidth="1"/>
    <col min="4" max="4" width="18" customWidth="1"/>
    <col min="5" max="5" width="12" customWidth="1"/>
    <col min="6" max="7" width="28" customWidth="1"/>
    <col min="8" max="8" width="9" customWidth="1"/>
    <col min="9" max="9" width="35" customWidth="1"/>
  </cols>
  <sheetData>
    <row r="1" spans="1:9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1.75" customHeight="1" x14ac:dyDescent="0.25">
      <c r="A2" s="1" t="s">
        <v>9</v>
      </c>
      <c r="B2" s="1"/>
      <c r="C2" s="1"/>
      <c r="D2" s="1"/>
      <c r="E2" s="1"/>
      <c r="F2" s="1"/>
      <c r="G2" s="1"/>
      <c r="H2" s="1"/>
      <c r="I2" s="1"/>
    </row>
    <row r="3" spans="1:9" ht="27.75" customHeight="1" x14ac:dyDescent="0.25">
      <c r="A3" s="3">
        <v>1</v>
      </c>
      <c r="B3" s="4" t="s">
        <v>10</v>
      </c>
      <c r="C3" s="4" t="s">
        <v>11</v>
      </c>
      <c r="D3" s="4" t="s">
        <v>12</v>
      </c>
      <c r="E3" s="3" t="s">
        <v>13</v>
      </c>
      <c r="F3" s="4" t="s">
        <v>14</v>
      </c>
      <c r="G3" s="4" t="s">
        <v>12</v>
      </c>
      <c r="H3" s="3">
        <v>1</v>
      </c>
      <c r="I3" s="4" t="s">
        <v>15</v>
      </c>
    </row>
    <row r="4" spans="1:9" ht="27.75" customHeight="1" x14ac:dyDescent="0.25">
      <c r="A4" s="3">
        <v>2</v>
      </c>
      <c r="B4" s="4" t="s">
        <v>10</v>
      </c>
      <c r="C4" s="4" t="s">
        <v>16</v>
      </c>
      <c r="D4" s="4" t="s">
        <v>17</v>
      </c>
      <c r="E4" s="3" t="s">
        <v>13</v>
      </c>
      <c r="F4" s="4" t="s">
        <v>18</v>
      </c>
      <c r="G4" s="4" t="s">
        <v>19</v>
      </c>
      <c r="H4" s="3">
        <v>1</v>
      </c>
      <c r="I4" s="4" t="s">
        <v>20</v>
      </c>
    </row>
    <row r="5" spans="1:9" ht="27.75" customHeight="1" x14ac:dyDescent="0.25">
      <c r="A5" s="3">
        <v>3</v>
      </c>
      <c r="B5" s="4" t="s">
        <v>10</v>
      </c>
      <c r="C5" s="4" t="s">
        <v>21</v>
      </c>
      <c r="D5" s="4" t="s">
        <v>22</v>
      </c>
      <c r="E5" s="3" t="s">
        <v>13</v>
      </c>
      <c r="F5" s="4" t="s">
        <v>23</v>
      </c>
      <c r="G5" s="4" t="s">
        <v>24</v>
      </c>
      <c r="H5" s="3">
        <v>1</v>
      </c>
      <c r="I5" s="4" t="s">
        <v>25</v>
      </c>
    </row>
    <row r="6" spans="1:9" ht="27.75" customHeight="1" x14ac:dyDescent="0.25">
      <c r="A6" s="3">
        <v>4</v>
      </c>
      <c r="B6" s="4" t="s">
        <v>10</v>
      </c>
      <c r="C6" s="4" t="s">
        <v>26</v>
      </c>
      <c r="D6" s="4" t="s">
        <v>27</v>
      </c>
      <c r="E6" s="3" t="s">
        <v>28</v>
      </c>
      <c r="F6" s="4" t="s">
        <v>29</v>
      </c>
      <c r="G6" s="4" t="s">
        <v>30</v>
      </c>
      <c r="H6" s="3">
        <v>6</v>
      </c>
      <c r="I6" s="4" t="s">
        <v>31</v>
      </c>
    </row>
    <row r="7" spans="1:9" ht="27.75" customHeight="1" x14ac:dyDescent="0.25">
      <c r="A7" s="3">
        <v>5</v>
      </c>
      <c r="B7" s="4" t="s">
        <v>10</v>
      </c>
      <c r="C7" s="4" t="s">
        <v>32</v>
      </c>
      <c r="D7" s="4" t="s">
        <v>27</v>
      </c>
      <c r="E7" s="3" t="s">
        <v>28</v>
      </c>
      <c r="F7" s="4" t="s">
        <v>29</v>
      </c>
      <c r="G7" s="4" t="s">
        <v>30</v>
      </c>
      <c r="H7" s="3">
        <v>1</v>
      </c>
      <c r="I7" s="4" t="s">
        <v>33</v>
      </c>
    </row>
    <row r="8" spans="1:9" ht="27.75" customHeight="1" x14ac:dyDescent="0.25">
      <c r="A8" s="3">
        <v>6</v>
      </c>
      <c r="B8" s="4" t="s">
        <v>10</v>
      </c>
      <c r="C8" s="4" t="s">
        <v>34</v>
      </c>
      <c r="D8" s="4" t="s">
        <v>35</v>
      </c>
      <c r="E8" s="3" t="s">
        <v>36</v>
      </c>
      <c r="F8" s="4" t="s">
        <v>37</v>
      </c>
      <c r="G8" s="4" t="s">
        <v>38</v>
      </c>
      <c r="H8" s="3">
        <v>1</v>
      </c>
      <c r="I8" s="4" t="s">
        <v>39</v>
      </c>
    </row>
    <row r="9" spans="1:9" ht="27.75" customHeight="1" x14ac:dyDescent="0.25">
      <c r="A9" s="3">
        <v>7</v>
      </c>
      <c r="B9" s="4" t="s">
        <v>10</v>
      </c>
      <c r="C9" s="4" t="s">
        <v>40</v>
      </c>
      <c r="D9" s="4" t="s">
        <v>41</v>
      </c>
      <c r="E9" s="3" t="s">
        <v>42</v>
      </c>
      <c r="F9" s="4" t="s">
        <v>37</v>
      </c>
      <c r="G9" s="4" t="s">
        <v>43</v>
      </c>
      <c r="H9" s="3">
        <v>1</v>
      </c>
      <c r="I9" s="4" t="s">
        <v>44</v>
      </c>
    </row>
    <row r="10" spans="1:9" ht="21.75" customHeight="1" x14ac:dyDescent="0.25">
      <c r="A10" s="1" t="s">
        <v>45</v>
      </c>
      <c r="B10" s="1"/>
      <c r="C10" s="1"/>
      <c r="D10" s="1"/>
      <c r="E10" s="1"/>
      <c r="F10" s="1"/>
      <c r="G10" s="1"/>
      <c r="H10" s="1"/>
      <c r="I10" s="1"/>
    </row>
    <row r="11" spans="1:9" ht="27.75" customHeight="1" x14ac:dyDescent="0.25">
      <c r="A11" s="3">
        <v>8</v>
      </c>
      <c r="B11" s="4" t="s">
        <v>45</v>
      </c>
      <c r="C11" s="4" t="s">
        <v>46</v>
      </c>
      <c r="D11" s="4" t="s">
        <v>47</v>
      </c>
      <c r="E11" s="3" t="s">
        <v>13</v>
      </c>
      <c r="F11" s="4" t="s">
        <v>48</v>
      </c>
      <c r="G11" s="4" t="s">
        <v>49</v>
      </c>
      <c r="H11" s="3">
        <v>1</v>
      </c>
      <c r="I11" s="4" t="s">
        <v>50</v>
      </c>
    </row>
    <row r="12" spans="1:9" ht="21.75" customHeight="1" x14ac:dyDescent="0.25">
      <c r="A12" s="1" t="s">
        <v>51</v>
      </c>
      <c r="B12" s="1"/>
      <c r="C12" s="1"/>
      <c r="D12" s="1"/>
      <c r="E12" s="1"/>
      <c r="F12" s="1"/>
      <c r="G12" s="1"/>
      <c r="H12" s="1"/>
      <c r="I12" s="1"/>
    </row>
    <row r="13" spans="1:9" ht="27.75" customHeight="1" x14ac:dyDescent="0.25">
      <c r="A13" s="3">
        <v>9</v>
      </c>
      <c r="B13" s="4" t="s">
        <v>52</v>
      </c>
      <c r="C13" s="4" t="s">
        <v>53</v>
      </c>
      <c r="D13" s="4" t="s">
        <v>54</v>
      </c>
      <c r="E13" s="3" t="s">
        <v>13</v>
      </c>
      <c r="F13" s="4" t="s">
        <v>55</v>
      </c>
      <c r="G13" s="4" t="s">
        <v>56</v>
      </c>
      <c r="H13" s="3">
        <v>3</v>
      </c>
      <c r="I13" s="4" t="s">
        <v>57</v>
      </c>
    </row>
    <row r="14" spans="1:9" ht="21.75" customHeight="1" x14ac:dyDescent="0.25">
      <c r="A14" s="1" t="s">
        <v>58</v>
      </c>
      <c r="B14" s="1"/>
      <c r="C14" s="1"/>
      <c r="D14" s="1"/>
      <c r="E14" s="1"/>
      <c r="F14" s="1"/>
      <c r="G14" s="1"/>
      <c r="H14" s="1"/>
      <c r="I14" s="1"/>
    </row>
    <row r="15" spans="1:9" ht="27.75" customHeight="1" x14ac:dyDescent="0.25">
      <c r="A15" s="3">
        <v>10</v>
      </c>
      <c r="B15" s="4" t="s">
        <v>59</v>
      </c>
      <c r="C15" s="4" t="s">
        <v>60</v>
      </c>
      <c r="D15" s="4" t="s">
        <v>61</v>
      </c>
      <c r="E15" s="3" t="s">
        <v>13</v>
      </c>
      <c r="F15" s="4" t="s">
        <v>62</v>
      </c>
      <c r="G15" s="4" t="s">
        <v>63</v>
      </c>
      <c r="H15" s="3">
        <v>1</v>
      </c>
      <c r="I15" s="4" t="s">
        <v>64</v>
      </c>
    </row>
    <row r="16" spans="1:9" ht="27.75" customHeight="1" x14ac:dyDescent="0.25">
      <c r="A16" s="3">
        <v>11</v>
      </c>
      <c r="B16" s="4" t="s">
        <v>59</v>
      </c>
      <c r="C16" s="4" t="s">
        <v>65</v>
      </c>
      <c r="D16" s="4" t="s">
        <v>66</v>
      </c>
      <c r="E16" s="3" t="s">
        <v>13</v>
      </c>
      <c r="F16" s="4" t="s">
        <v>62</v>
      </c>
      <c r="G16" s="4" t="s">
        <v>67</v>
      </c>
      <c r="H16" s="3">
        <v>1</v>
      </c>
      <c r="I16" s="4" t="s">
        <v>68</v>
      </c>
    </row>
    <row r="17" spans="1:9" ht="27.75" customHeight="1" x14ac:dyDescent="0.25">
      <c r="A17" s="3">
        <v>12</v>
      </c>
      <c r="B17" s="4" t="s">
        <v>59</v>
      </c>
      <c r="C17" s="4" t="s">
        <v>69</v>
      </c>
      <c r="D17" s="4" t="s">
        <v>70</v>
      </c>
      <c r="E17" s="3" t="s">
        <v>13</v>
      </c>
      <c r="F17" s="4" t="s">
        <v>62</v>
      </c>
      <c r="G17" s="4" t="s">
        <v>71</v>
      </c>
      <c r="H17" s="3">
        <v>1</v>
      </c>
      <c r="I17" s="4" t="s">
        <v>72</v>
      </c>
    </row>
    <row r="18" spans="1:9" ht="27.75" customHeight="1" x14ac:dyDescent="0.25">
      <c r="A18" s="3">
        <v>13</v>
      </c>
      <c r="B18" s="4" t="s">
        <v>59</v>
      </c>
      <c r="C18" s="4" t="s">
        <v>73</v>
      </c>
      <c r="D18" s="4" t="s">
        <v>66</v>
      </c>
      <c r="E18" s="3" t="s">
        <v>13</v>
      </c>
      <c r="F18" s="4" t="s">
        <v>62</v>
      </c>
      <c r="G18" s="4" t="s">
        <v>67</v>
      </c>
      <c r="H18" s="3">
        <v>1</v>
      </c>
      <c r="I18" s="4" t="s">
        <v>74</v>
      </c>
    </row>
    <row r="19" spans="1:9" ht="27.75" customHeight="1" x14ac:dyDescent="0.25">
      <c r="A19" s="3">
        <v>14</v>
      </c>
      <c r="B19" s="4" t="s">
        <v>59</v>
      </c>
      <c r="C19" s="4" t="s">
        <v>75</v>
      </c>
      <c r="D19" s="4" t="s">
        <v>66</v>
      </c>
      <c r="E19" s="3" t="s">
        <v>13</v>
      </c>
      <c r="F19" s="4" t="s">
        <v>62</v>
      </c>
      <c r="G19" s="4" t="s">
        <v>67</v>
      </c>
      <c r="H19" s="3">
        <v>1</v>
      </c>
      <c r="I19" s="4" t="s">
        <v>76</v>
      </c>
    </row>
    <row r="20" spans="1:9" ht="27.75" customHeight="1" x14ac:dyDescent="0.25">
      <c r="A20" s="3">
        <v>15</v>
      </c>
      <c r="B20" s="4" t="s">
        <v>59</v>
      </c>
      <c r="C20" s="4" t="s">
        <v>77</v>
      </c>
      <c r="D20" s="4" t="s">
        <v>61</v>
      </c>
      <c r="E20" s="3" t="s">
        <v>13</v>
      </c>
      <c r="F20" s="4" t="s">
        <v>62</v>
      </c>
      <c r="G20" s="4" t="s">
        <v>63</v>
      </c>
      <c r="H20" s="3">
        <v>1</v>
      </c>
      <c r="I20" s="4" t="s">
        <v>78</v>
      </c>
    </row>
    <row r="21" spans="1:9" ht="27.75" customHeight="1" x14ac:dyDescent="0.25">
      <c r="A21" s="3">
        <v>16</v>
      </c>
      <c r="B21" s="4" t="s">
        <v>59</v>
      </c>
      <c r="C21" s="4" t="s">
        <v>79</v>
      </c>
      <c r="D21" s="4" t="s">
        <v>66</v>
      </c>
      <c r="E21" s="3" t="s">
        <v>13</v>
      </c>
      <c r="F21" s="4" t="s">
        <v>62</v>
      </c>
      <c r="G21" s="4" t="s">
        <v>67</v>
      </c>
      <c r="H21" s="3">
        <v>1</v>
      </c>
      <c r="I21" s="4" t="s">
        <v>80</v>
      </c>
    </row>
    <row r="22" spans="1:9" ht="27.75" customHeight="1" x14ac:dyDescent="0.25">
      <c r="A22" s="3">
        <v>17</v>
      </c>
      <c r="B22" s="4" t="s">
        <v>59</v>
      </c>
      <c r="C22" s="4" t="s">
        <v>81</v>
      </c>
      <c r="D22" s="4" t="s">
        <v>66</v>
      </c>
      <c r="E22" s="3" t="s">
        <v>13</v>
      </c>
      <c r="F22" s="4" t="s">
        <v>62</v>
      </c>
      <c r="G22" s="4" t="s">
        <v>67</v>
      </c>
      <c r="H22" s="3">
        <v>1</v>
      </c>
      <c r="I22" s="4" t="s">
        <v>82</v>
      </c>
    </row>
    <row r="23" spans="1:9" ht="27.75" customHeight="1" x14ac:dyDescent="0.25">
      <c r="A23" s="3">
        <v>18</v>
      </c>
      <c r="B23" s="4" t="s">
        <v>59</v>
      </c>
      <c r="C23" s="4" t="s">
        <v>83</v>
      </c>
      <c r="D23" s="4" t="s">
        <v>61</v>
      </c>
      <c r="E23" s="3" t="s">
        <v>13</v>
      </c>
      <c r="F23" s="4" t="s">
        <v>62</v>
      </c>
      <c r="G23" s="4" t="s">
        <v>63</v>
      </c>
      <c r="H23" s="3">
        <v>1</v>
      </c>
      <c r="I23" s="4" t="s">
        <v>84</v>
      </c>
    </row>
    <row r="24" spans="1:9" ht="27.75" customHeight="1" x14ac:dyDescent="0.25">
      <c r="A24" s="3">
        <v>19</v>
      </c>
      <c r="B24" s="4" t="s">
        <v>59</v>
      </c>
      <c r="C24" s="4" t="s">
        <v>85</v>
      </c>
      <c r="D24" s="4" t="s">
        <v>66</v>
      </c>
      <c r="E24" s="3" t="s">
        <v>13</v>
      </c>
      <c r="F24" s="4" t="s">
        <v>62</v>
      </c>
      <c r="G24" s="4" t="s">
        <v>67</v>
      </c>
      <c r="H24" s="3">
        <v>6</v>
      </c>
      <c r="I24" s="4" t="s">
        <v>86</v>
      </c>
    </row>
    <row r="25" spans="1:9" ht="27.75" customHeight="1" x14ac:dyDescent="0.25">
      <c r="A25" s="3">
        <v>20</v>
      </c>
      <c r="B25" s="4" t="s">
        <v>59</v>
      </c>
      <c r="C25" s="4" t="s">
        <v>87</v>
      </c>
      <c r="D25" s="4" t="s">
        <v>88</v>
      </c>
      <c r="E25" s="3" t="s">
        <v>13</v>
      </c>
      <c r="F25" s="4" t="s">
        <v>62</v>
      </c>
      <c r="G25" s="4" t="s">
        <v>89</v>
      </c>
      <c r="H25" s="3">
        <v>3</v>
      </c>
      <c r="I25" s="4" t="s">
        <v>90</v>
      </c>
    </row>
    <row r="26" spans="1:9" ht="27.75" customHeight="1" x14ac:dyDescent="0.25">
      <c r="A26" s="3">
        <v>21</v>
      </c>
      <c r="B26" s="4" t="s">
        <v>59</v>
      </c>
      <c r="C26" s="4" t="s">
        <v>91</v>
      </c>
      <c r="D26" s="4" t="s">
        <v>92</v>
      </c>
      <c r="E26" s="3" t="s">
        <v>13</v>
      </c>
      <c r="F26" s="4" t="s">
        <v>62</v>
      </c>
      <c r="G26" s="4" t="s">
        <v>93</v>
      </c>
      <c r="H26" s="3">
        <v>6</v>
      </c>
      <c r="I26" s="4" t="s">
        <v>94</v>
      </c>
    </row>
    <row r="27" spans="1:9" ht="27.75" customHeight="1" x14ac:dyDescent="0.25">
      <c r="A27" s="3">
        <v>22</v>
      </c>
      <c r="B27" s="4" t="s">
        <v>59</v>
      </c>
      <c r="C27" s="4" t="s">
        <v>95</v>
      </c>
      <c r="D27" s="4" t="s">
        <v>88</v>
      </c>
      <c r="E27" s="3" t="s">
        <v>13</v>
      </c>
      <c r="F27" s="4" t="s">
        <v>62</v>
      </c>
      <c r="G27" s="4" t="s">
        <v>89</v>
      </c>
      <c r="H27" s="3">
        <v>1</v>
      </c>
      <c r="I27" s="4" t="s">
        <v>96</v>
      </c>
    </row>
    <row r="28" spans="1:9" ht="27.75" customHeight="1" x14ac:dyDescent="0.25">
      <c r="A28" s="3">
        <v>23</v>
      </c>
      <c r="B28" s="4" t="s">
        <v>59</v>
      </c>
      <c r="C28" s="4" t="s">
        <v>97</v>
      </c>
      <c r="D28" s="4" t="s">
        <v>92</v>
      </c>
      <c r="E28" s="3" t="s">
        <v>13</v>
      </c>
      <c r="F28" s="4" t="s">
        <v>62</v>
      </c>
      <c r="G28" s="4" t="s">
        <v>93</v>
      </c>
      <c r="H28" s="3">
        <v>1</v>
      </c>
      <c r="I28" s="4" t="s">
        <v>98</v>
      </c>
    </row>
    <row r="29" spans="1:9" ht="27.75" customHeight="1" x14ac:dyDescent="0.25">
      <c r="A29" s="3">
        <v>24</v>
      </c>
      <c r="B29" s="4" t="s">
        <v>59</v>
      </c>
      <c r="C29" s="4" t="s">
        <v>99</v>
      </c>
      <c r="D29" s="4" t="s">
        <v>100</v>
      </c>
      <c r="E29" s="3" t="s">
        <v>13</v>
      </c>
      <c r="F29" s="4" t="s">
        <v>62</v>
      </c>
      <c r="G29" s="4" t="s">
        <v>101</v>
      </c>
      <c r="H29" s="3">
        <v>4</v>
      </c>
      <c r="I29" s="4" t="s">
        <v>102</v>
      </c>
    </row>
    <row r="30" spans="1:9" ht="27.75" customHeight="1" x14ac:dyDescent="0.25">
      <c r="A30" s="3">
        <v>25</v>
      </c>
      <c r="B30" s="4" t="s">
        <v>59</v>
      </c>
      <c r="C30" s="4" t="s">
        <v>103</v>
      </c>
      <c r="D30" s="4" t="s">
        <v>104</v>
      </c>
      <c r="E30" s="3" t="s">
        <v>13</v>
      </c>
      <c r="F30" s="4" t="s">
        <v>62</v>
      </c>
      <c r="G30" s="4" t="s">
        <v>105</v>
      </c>
      <c r="H30" s="3">
        <v>4</v>
      </c>
      <c r="I30" s="4" t="s">
        <v>106</v>
      </c>
    </row>
    <row r="31" spans="1:9" ht="27.75" customHeight="1" x14ac:dyDescent="0.25">
      <c r="A31" s="3">
        <v>26</v>
      </c>
      <c r="B31" s="4" t="s">
        <v>59</v>
      </c>
      <c r="C31" s="4" t="s">
        <v>107</v>
      </c>
      <c r="D31" s="4" t="s">
        <v>61</v>
      </c>
      <c r="E31" s="3" t="s">
        <v>13</v>
      </c>
      <c r="F31" s="4" t="s">
        <v>62</v>
      </c>
      <c r="G31" s="4" t="s">
        <v>63</v>
      </c>
      <c r="H31" s="3">
        <v>1</v>
      </c>
      <c r="I31" s="4" t="s">
        <v>108</v>
      </c>
    </row>
    <row r="32" spans="1:9" ht="27.75" customHeight="1" x14ac:dyDescent="0.25">
      <c r="A32" s="3">
        <v>27</v>
      </c>
      <c r="B32" s="4" t="s">
        <v>59</v>
      </c>
      <c r="C32" s="4" t="s">
        <v>109</v>
      </c>
      <c r="D32" s="4" t="s">
        <v>110</v>
      </c>
      <c r="E32" s="3" t="s">
        <v>13</v>
      </c>
      <c r="F32" s="4" t="s">
        <v>62</v>
      </c>
      <c r="G32" s="4" t="s">
        <v>111</v>
      </c>
      <c r="H32" s="3">
        <v>1</v>
      </c>
      <c r="I32" s="4" t="s">
        <v>108</v>
      </c>
    </row>
    <row r="33" spans="1:9" ht="21.75" customHeight="1" x14ac:dyDescent="0.25">
      <c r="A33" s="1" t="s">
        <v>112</v>
      </c>
      <c r="B33" s="1"/>
      <c r="C33" s="1"/>
      <c r="D33" s="1"/>
      <c r="E33" s="1"/>
      <c r="F33" s="1"/>
      <c r="G33" s="1"/>
      <c r="H33" s="1"/>
      <c r="I33" s="1"/>
    </row>
    <row r="34" spans="1:9" ht="27.75" customHeight="1" x14ac:dyDescent="0.25">
      <c r="A34" s="3">
        <v>28</v>
      </c>
      <c r="B34" s="4" t="s">
        <v>113</v>
      </c>
      <c r="C34" s="4" t="s">
        <v>114</v>
      </c>
      <c r="D34" s="4" t="s">
        <v>115</v>
      </c>
      <c r="E34" s="3" t="s">
        <v>116</v>
      </c>
      <c r="F34" s="4" t="s">
        <v>117</v>
      </c>
      <c r="G34" s="4" t="s">
        <v>118</v>
      </c>
      <c r="H34" s="3">
        <v>1</v>
      </c>
      <c r="I34" s="4" t="s">
        <v>119</v>
      </c>
    </row>
    <row r="35" spans="1:9" ht="27.75" customHeight="1" x14ac:dyDescent="0.25">
      <c r="A35" s="3">
        <v>29</v>
      </c>
      <c r="B35" s="4" t="s">
        <v>113</v>
      </c>
      <c r="C35" s="4" t="s">
        <v>120</v>
      </c>
      <c r="D35" s="4" t="s">
        <v>121</v>
      </c>
      <c r="E35" s="3" t="s">
        <v>122</v>
      </c>
      <c r="F35" s="4" t="s">
        <v>123</v>
      </c>
      <c r="G35" s="4" t="s">
        <v>124</v>
      </c>
      <c r="H35" s="3">
        <v>1</v>
      </c>
      <c r="I35" s="4" t="s">
        <v>125</v>
      </c>
    </row>
    <row r="36" spans="1:9" ht="27.75" customHeight="1" x14ac:dyDescent="0.25">
      <c r="A36" s="3">
        <v>30</v>
      </c>
      <c r="B36" s="4" t="s">
        <v>113</v>
      </c>
      <c r="C36" s="4" t="s">
        <v>126</v>
      </c>
      <c r="D36" s="4" t="s">
        <v>121</v>
      </c>
      <c r="E36" s="3" t="s">
        <v>116</v>
      </c>
      <c r="F36" s="4" t="s">
        <v>123</v>
      </c>
      <c r="G36" s="4" t="s">
        <v>127</v>
      </c>
      <c r="H36" s="3">
        <v>2</v>
      </c>
      <c r="I36" s="4" t="s">
        <v>128</v>
      </c>
    </row>
    <row r="37" spans="1:9" ht="27.75" customHeight="1" x14ac:dyDescent="0.25">
      <c r="A37" s="3">
        <v>31</v>
      </c>
      <c r="B37" s="4" t="s">
        <v>113</v>
      </c>
      <c r="C37" s="4" t="s">
        <v>129</v>
      </c>
      <c r="D37" s="4" t="s">
        <v>130</v>
      </c>
      <c r="E37" s="3" t="s">
        <v>116</v>
      </c>
      <c r="F37" s="4" t="s">
        <v>123</v>
      </c>
      <c r="G37" s="4" t="s">
        <v>131</v>
      </c>
      <c r="H37" s="3">
        <v>1</v>
      </c>
      <c r="I37" s="4" t="s">
        <v>132</v>
      </c>
    </row>
    <row r="38" spans="1:9" ht="27.75" customHeight="1" x14ac:dyDescent="0.25">
      <c r="A38" s="3">
        <v>32</v>
      </c>
      <c r="B38" s="4" t="s">
        <v>113</v>
      </c>
      <c r="C38" s="4" t="s">
        <v>133</v>
      </c>
      <c r="D38" s="4" t="s">
        <v>121</v>
      </c>
      <c r="E38" s="3" t="s">
        <v>116</v>
      </c>
      <c r="F38" s="4" t="s">
        <v>123</v>
      </c>
      <c r="G38" s="4" t="s">
        <v>127</v>
      </c>
      <c r="H38" s="3">
        <v>1</v>
      </c>
      <c r="I38" s="4" t="s">
        <v>134</v>
      </c>
    </row>
    <row r="39" spans="1:9" ht="27.75" customHeight="1" x14ac:dyDescent="0.25">
      <c r="A39" s="3">
        <v>33</v>
      </c>
      <c r="B39" s="4" t="s">
        <v>113</v>
      </c>
      <c r="C39" s="4" t="s">
        <v>135</v>
      </c>
      <c r="D39" s="4" t="s">
        <v>136</v>
      </c>
      <c r="E39" s="3" t="s">
        <v>116</v>
      </c>
      <c r="F39" s="4" t="s">
        <v>123</v>
      </c>
      <c r="G39" s="4" t="s">
        <v>137</v>
      </c>
      <c r="H39" s="3">
        <v>1</v>
      </c>
      <c r="I39" s="4" t="s">
        <v>138</v>
      </c>
    </row>
    <row r="40" spans="1:9" ht="27.75" customHeight="1" x14ac:dyDescent="0.25">
      <c r="A40" s="3">
        <v>34</v>
      </c>
      <c r="B40" s="4" t="s">
        <v>113</v>
      </c>
      <c r="C40" s="4" t="s">
        <v>139</v>
      </c>
      <c r="D40" s="4" t="s">
        <v>121</v>
      </c>
      <c r="E40" s="3" t="s">
        <v>116</v>
      </c>
      <c r="F40" s="4" t="s">
        <v>123</v>
      </c>
      <c r="G40" s="4" t="s">
        <v>127</v>
      </c>
      <c r="H40" s="3">
        <v>1</v>
      </c>
      <c r="I40" s="4" t="s">
        <v>140</v>
      </c>
    </row>
    <row r="41" spans="1:9" ht="27.75" customHeight="1" x14ac:dyDescent="0.25">
      <c r="A41" s="3">
        <v>35</v>
      </c>
      <c r="B41" s="4" t="s">
        <v>113</v>
      </c>
      <c r="C41" s="4" t="s">
        <v>141</v>
      </c>
      <c r="D41" s="4" t="s">
        <v>142</v>
      </c>
      <c r="E41" s="3" t="s">
        <v>116</v>
      </c>
      <c r="F41" s="4" t="s">
        <v>143</v>
      </c>
      <c r="G41" s="4" t="s">
        <v>144</v>
      </c>
      <c r="H41" s="3">
        <v>1</v>
      </c>
      <c r="I41" s="4" t="s">
        <v>145</v>
      </c>
    </row>
    <row r="42" spans="1:9" ht="27.75" customHeight="1" x14ac:dyDescent="0.25">
      <c r="A42" s="3">
        <v>36</v>
      </c>
      <c r="B42" s="4" t="s">
        <v>113</v>
      </c>
      <c r="C42" s="4" t="s">
        <v>146</v>
      </c>
      <c r="D42" s="4" t="s">
        <v>136</v>
      </c>
      <c r="E42" s="3" t="s">
        <v>116</v>
      </c>
      <c r="F42" s="4" t="s">
        <v>123</v>
      </c>
      <c r="G42" s="4" t="s">
        <v>137</v>
      </c>
      <c r="H42" s="3">
        <v>3</v>
      </c>
      <c r="I42" s="4" t="s">
        <v>147</v>
      </c>
    </row>
    <row r="43" spans="1:9" ht="27.75" customHeight="1" x14ac:dyDescent="0.25">
      <c r="A43" s="3">
        <v>37</v>
      </c>
      <c r="B43" s="4" t="s">
        <v>113</v>
      </c>
      <c r="C43" s="4" t="s">
        <v>148</v>
      </c>
      <c r="D43" s="4" t="s">
        <v>136</v>
      </c>
      <c r="E43" s="3" t="s">
        <v>122</v>
      </c>
      <c r="F43" s="4" t="s">
        <v>123</v>
      </c>
      <c r="G43" s="4" t="s">
        <v>149</v>
      </c>
      <c r="H43" s="3">
        <v>1</v>
      </c>
      <c r="I43" s="4" t="s">
        <v>150</v>
      </c>
    </row>
    <row r="44" spans="1:9" ht="27.75" customHeight="1" x14ac:dyDescent="0.25">
      <c r="A44" s="3">
        <v>38</v>
      </c>
      <c r="B44" s="4" t="s">
        <v>113</v>
      </c>
      <c r="C44" s="4" t="s">
        <v>151</v>
      </c>
      <c r="D44" s="4" t="s">
        <v>121</v>
      </c>
      <c r="E44" s="3" t="s">
        <v>122</v>
      </c>
      <c r="F44" s="4" t="s">
        <v>123</v>
      </c>
      <c r="G44" s="4" t="s">
        <v>124</v>
      </c>
      <c r="H44" s="3">
        <v>1</v>
      </c>
      <c r="I44" s="4" t="s">
        <v>152</v>
      </c>
    </row>
    <row r="45" spans="1:9" ht="27.75" customHeight="1" x14ac:dyDescent="0.25">
      <c r="A45" s="3">
        <v>39</v>
      </c>
      <c r="B45" s="4" t="s">
        <v>113</v>
      </c>
      <c r="C45" s="4" t="s">
        <v>153</v>
      </c>
      <c r="D45" s="4" t="s">
        <v>154</v>
      </c>
      <c r="E45" s="3" t="s">
        <v>122</v>
      </c>
      <c r="F45" s="4" t="s">
        <v>123</v>
      </c>
      <c r="G45" s="4" t="s">
        <v>155</v>
      </c>
      <c r="H45" s="3">
        <v>3</v>
      </c>
      <c r="I45" s="4" t="s">
        <v>156</v>
      </c>
    </row>
    <row r="46" spans="1:9" ht="27.75" customHeight="1" x14ac:dyDescent="0.25">
      <c r="A46" s="3">
        <v>40</v>
      </c>
      <c r="B46" s="4" t="s">
        <v>113</v>
      </c>
      <c r="C46" s="4" t="s">
        <v>157</v>
      </c>
      <c r="D46" s="4" t="s">
        <v>158</v>
      </c>
      <c r="E46" s="3" t="s">
        <v>122</v>
      </c>
      <c r="F46" s="4" t="s">
        <v>123</v>
      </c>
      <c r="G46" s="4" t="s">
        <v>159</v>
      </c>
      <c r="H46" s="3">
        <v>1</v>
      </c>
      <c r="I46" s="4" t="s">
        <v>160</v>
      </c>
    </row>
    <row r="47" spans="1:9" ht="27.75" customHeight="1" x14ac:dyDescent="0.25">
      <c r="A47" s="3">
        <v>41</v>
      </c>
      <c r="B47" s="4" t="s">
        <v>113</v>
      </c>
      <c r="C47" s="4" t="s">
        <v>161</v>
      </c>
      <c r="D47" s="4" t="s">
        <v>154</v>
      </c>
      <c r="E47" s="3" t="s">
        <v>122</v>
      </c>
      <c r="F47" s="4" t="s">
        <v>123</v>
      </c>
      <c r="G47" s="4" t="s">
        <v>155</v>
      </c>
      <c r="H47" s="3">
        <v>3</v>
      </c>
      <c r="I47" s="4" t="s">
        <v>162</v>
      </c>
    </row>
    <row r="48" spans="1:9" ht="27.75" customHeight="1" x14ac:dyDescent="0.25">
      <c r="A48" s="3">
        <v>42</v>
      </c>
      <c r="B48" s="4" t="s">
        <v>113</v>
      </c>
      <c r="C48" s="4" t="s">
        <v>163</v>
      </c>
      <c r="D48" s="4" t="s">
        <v>142</v>
      </c>
      <c r="E48" s="3" t="s">
        <v>164</v>
      </c>
      <c r="F48" s="4" t="s">
        <v>143</v>
      </c>
      <c r="G48" s="4" t="s">
        <v>165</v>
      </c>
      <c r="H48" s="3">
        <v>1</v>
      </c>
      <c r="I48" s="4" t="s">
        <v>166</v>
      </c>
    </row>
    <row r="49" spans="1:9" ht="27.75" customHeight="1" x14ac:dyDescent="0.25">
      <c r="A49" s="3">
        <v>43</v>
      </c>
      <c r="B49" s="4" t="s">
        <v>113</v>
      </c>
      <c r="C49" s="4" t="s">
        <v>167</v>
      </c>
      <c r="D49" s="4" t="s">
        <v>168</v>
      </c>
      <c r="E49" s="3" t="s">
        <v>164</v>
      </c>
      <c r="F49" s="4" t="s">
        <v>123</v>
      </c>
      <c r="G49" s="4" t="s">
        <v>169</v>
      </c>
      <c r="H49" s="3">
        <v>1</v>
      </c>
      <c r="I49" s="4" t="s">
        <v>170</v>
      </c>
    </row>
    <row r="50" spans="1:9" ht="27.75" customHeight="1" x14ac:dyDescent="0.25">
      <c r="A50" s="3">
        <v>44</v>
      </c>
      <c r="B50" s="4" t="s">
        <v>113</v>
      </c>
      <c r="C50" s="4" t="s">
        <v>171</v>
      </c>
      <c r="D50" s="4" t="s">
        <v>136</v>
      </c>
      <c r="E50" s="3" t="s">
        <v>116</v>
      </c>
      <c r="F50" s="4" t="s">
        <v>123</v>
      </c>
      <c r="G50" s="4" t="s">
        <v>137</v>
      </c>
      <c r="H50" s="3">
        <v>1</v>
      </c>
      <c r="I50" s="4" t="s">
        <v>172</v>
      </c>
    </row>
    <row r="51" spans="1:9" ht="27.75" customHeight="1" x14ac:dyDescent="0.25">
      <c r="A51" s="3">
        <v>45</v>
      </c>
      <c r="B51" s="4" t="s">
        <v>113</v>
      </c>
      <c r="C51" s="4" t="s">
        <v>173</v>
      </c>
      <c r="D51" s="4" t="s">
        <v>121</v>
      </c>
      <c r="E51" s="3" t="s">
        <v>122</v>
      </c>
      <c r="F51" s="4" t="s">
        <v>123</v>
      </c>
      <c r="G51" s="4" t="s">
        <v>124</v>
      </c>
      <c r="H51" s="3">
        <v>1</v>
      </c>
      <c r="I51" s="4" t="s">
        <v>174</v>
      </c>
    </row>
    <row r="52" spans="1:9" ht="27.75" customHeight="1" x14ac:dyDescent="0.25">
      <c r="A52" s="3">
        <v>46</v>
      </c>
      <c r="B52" s="4" t="s">
        <v>113</v>
      </c>
      <c r="C52" s="4" t="s">
        <v>175</v>
      </c>
      <c r="D52" s="4" t="s">
        <v>176</v>
      </c>
      <c r="E52" s="3" t="s">
        <v>122</v>
      </c>
      <c r="F52" s="4" t="s">
        <v>143</v>
      </c>
      <c r="G52" s="4" t="s">
        <v>177</v>
      </c>
      <c r="H52" s="3">
        <v>4</v>
      </c>
      <c r="I52" s="4" t="s">
        <v>178</v>
      </c>
    </row>
    <row r="53" spans="1:9" ht="27.75" customHeight="1" x14ac:dyDescent="0.25">
      <c r="A53" s="3">
        <v>47</v>
      </c>
      <c r="B53" s="4" t="s">
        <v>113</v>
      </c>
      <c r="C53" s="4" t="s">
        <v>179</v>
      </c>
      <c r="D53" s="4" t="s">
        <v>136</v>
      </c>
      <c r="E53" s="3" t="s">
        <v>122</v>
      </c>
      <c r="F53" s="4" t="s">
        <v>123</v>
      </c>
      <c r="G53" s="4" t="s">
        <v>149</v>
      </c>
      <c r="H53" s="3">
        <v>4</v>
      </c>
      <c r="I53" s="4" t="s">
        <v>180</v>
      </c>
    </row>
    <row r="54" spans="1:9" ht="21.75" customHeight="1" x14ac:dyDescent="0.25">
      <c r="A54" s="1" t="s">
        <v>181</v>
      </c>
      <c r="B54" s="1"/>
      <c r="C54" s="1"/>
      <c r="D54" s="1"/>
      <c r="E54" s="1"/>
      <c r="F54" s="1"/>
      <c r="G54" s="1"/>
      <c r="H54" s="1"/>
      <c r="I54" s="1"/>
    </row>
    <row r="55" spans="1:9" ht="27.75" customHeight="1" x14ac:dyDescent="0.25">
      <c r="A55" s="3">
        <v>48</v>
      </c>
      <c r="B55" s="4" t="s">
        <v>182</v>
      </c>
      <c r="C55" s="4" t="s">
        <v>183</v>
      </c>
      <c r="D55" s="4" t="s">
        <v>184</v>
      </c>
      <c r="E55" s="3" t="s">
        <v>185</v>
      </c>
      <c r="F55" s="4" t="s">
        <v>186</v>
      </c>
      <c r="G55" s="4" t="s">
        <v>187</v>
      </c>
      <c r="H55" s="3">
        <v>2</v>
      </c>
      <c r="I55" s="4" t="s">
        <v>188</v>
      </c>
    </row>
    <row r="56" spans="1:9" ht="21.75" customHeight="1" x14ac:dyDescent="0.25">
      <c r="A56" s="1" t="s">
        <v>189</v>
      </c>
      <c r="B56" s="1"/>
      <c r="C56" s="1"/>
      <c r="D56" s="1"/>
      <c r="E56" s="1"/>
      <c r="F56" s="1"/>
      <c r="G56" s="1"/>
      <c r="H56" s="1"/>
      <c r="I56" s="1"/>
    </row>
    <row r="57" spans="1:9" ht="27.75" customHeight="1" x14ac:dyDescent="0.25">
      <c r="A57" s="3">
        <v>49</v>
      </c>
      <c r="B57" s="4" t="s">
        <v>189</v>
      </c>
      <c r="C57" s="4" t="s">
        <v>190</v>
      </c>
      <c r="D57" s="4" t="s">
        <v>191</v>
      </c>
      <c r="E57" s="3" t="s">
        <v>13</v>
      </c>
      <c r="F57" s="4" t="s">
        <v>192</v>
      </c>
      <c r="G57" s="4" t="s">
        <v>193</v>
      </c>
      <c r="H57" s="3">
        <v>1</v>
      </c>
      <c r="I57" s="4" t="s">
        <v>194</v>
      </c>
    </row>
    <row r="58" spans="1:9" ht="27.75" customHeight="1" x14ac:dyDescent="0.25">
      <c r="A58" s="3">
        <v>50</v>
      </c>
      <c r="B58" s="4" t="s">
        <v>189</v>
      </c>
      <c r="C58" s="4" t="s">
        <v>195</v>
      </c>
      <c r="D58" s="4" t="s">
        <v>196</v>
      </c>
      <c r="E58" s="3" t="s">
        <v>13</v>
      </c>
      <c r="F58" s="4" t="s">
        <v>197</v>
      </c>
      <c r="G58" s="4" t="s">
        <v>198</v>
      </c>
      <c r="H58" s="3">
        <v>1</v>
      </c>
      <c r="I58" s="4" t="s">
        <v>199</v>
      </c>
    </row>
    <row r="59" spans="1:9" ht="27.75" customHeight="1" x14ac:dyDescent="0.25">
      <c r="A59" s="3">
        <v>51</v>
      </c>
      <c r="B59" s="4" t="s">
        <v>189</v>
      </c>
      <c r="C59" s="4" t="s">
        <v>200</v>
      </c>
      <c r="D59" s="4" t="s">
        <v>201</v>
      </c>
      <c r="E59" s="3" t="s">
        <v>13</v>
      </c>
      <c r="F59" s="4" t="s">
        <v>202</v>
      </c>
      <c r="G59" s="4" t="s">
        <v>203</v>
      </c>
      <c r="H59" s="3">
        <v>1</v>
      </c>
      <c r="I59" s="4" t="s">
        <v>204</v>
      </c>
    </row>
    <row r="61" spans="1:9" ht="21.75" customHeight="1" x14ac:dyDescent="0.25">
      <c r="A61" s="1" t="s">
        <v>205</v>
      </c>
      <c r="B61" s="1"/>
      <c r="C61" s="1"/>
      <c r="D61" s="1"/>
      <c r="E61" s="1"/>
      <c r="F61" s="1"/>
      <c r="G61" s="1"/>
      <c r="H61" s="1"/>
      <c r="I61" s="1"/>
    </row>
    <row r="62" spans="1:9" x14ac:dyDescent="0.25">
      <c r="G62" s="5" t="s">
        <v>206</v>
      </c>
      <c r="H62" s="6">
        <f>SUM(H2:H59)</f>
        <v>90</v>
      </c>
    </row>
  </sheetData>
  <mergeCells count="8">
    <mergeCell ref="A54:I54"/>
    <mergeCell ref="A56:I56"/>
    <mergeCell ref="A61:I61"/>
    <mergeCell ref="A2:I2"/>
    <mergeCell ref="A10:I10"/>
    <mergeCell ref="A12:I12"/>
    <mergeCell ref="A14:I14"/>
    <mergeCell ref="A33:I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47"/>
  <sheetViews>
    <sheetView zoomScaleNormal="100" workbookViewId="0"/>
  </sheetViews>
  <sheetFormatPr baseColWidth="10" defaultColWidth="8.7109375" defaultRowHeight="15" x14ac:dyDescent="0.25"/>
  <cols>
    <col min="1" max="1" width="5" customWidth="1"/>
    <col min="2" max="2" width="100" customWidth="1"/>
  </cols>
  <sheetData>
    <row r="1" spans="2:2" ht="18" x14ac:dyDescent="0.25">
      <c r="B1" s="7" t="s">
        <v>207</v>
      </c>
    </row>
    <row r="3" spans="2:2" x14ac:dyDescent="0.25">
      <c r="B3" s="8"/>
    </row>
    <row r="4" spans="2:2" x14ac:dyDescent="0.25">
      <c r="B4" s="9" t="s">
        <v>208</v>
      </c>
    </row>
    <row r="5" spans="2:2" x14ac:dyDescent="0.25">
      <c r="B5" s="8" t="s">
        <v>209</v>
      </c>
    </row>
    <row r="6" spans="2:2" x14ac:dyDescent="0.25">
      <c r="B6" s="8" t="s">
        <v>210</v>
      </c>
    </row>
    <row r="7" spans="2:2" x14ac:dyDescent="0.25">
      <c r="B7" s="8" t="s">
        <v>211</v>
      </c>
    </row>
    <row r="8" spans="2:2" x14ac:dyDescent="0.25">
      <c r="B8" s="8"/>
    </row>
    <row r="9" spans="2:2" x14ac:dyDescent="0.25">
      <c r="B9" s="9" t="s">
        <v>212</v>
      </c>
    </row>
    <row r="10" spans="2:2" x14ac:dyDescent="0.25">
      <c r="B10" s="8" t="s">
        <v>213</v>
      </c>
    </row>
    <row r="11" spans="2:2" x14ac:dyDescent="0.25">
      <c r="B11" s="8" t="s">
        <v>214</v>
      </c>
    </row>
    <row r="12" spans="2:2" x14ac:dyDescent="0.25">
      <c r="B12" s="8" t="s">
        <v>215</v>
      </c>
    </row>
    <row r="13" spans="2:2" x14ac:dyDescent="0.25">
      <c r="B13" s="8"/>
    </row>
    <row r="14" spans="2:2" x14ac:dyDescent="0.25">
      <c r="B14" s="9" t="s">
        <v>216</v>
      </c>
    </row>
    <row r="15" spans="2:2" x14ac:dyDescent="0.25">
      <c r="B15" s="8" t="s">
        <v>217</v>
      </c>
    </row>
    <row r="16" spans="2:2" x14ac:dyDescent="0.25">
      <c r="B16" s="8" t="s">
        <v>218</v>
      </c>
    </row>
    <row r="17" spans="2:2" x14ac:dyDescent="0.25">
      <c r="B17" s="8" t="s">
        <v>219</v>
      </c>
    </row>
    <row r="18" spans="2:2" x14ac:dyDescent="0.25">
      <c r="B18" s="8" t="s">
        <v>220</v>
      </c>
    </row>
    <row r="19" spans="2:2" x14ac:dyDescent="0.25">
      <c r="B19" s="8"/>
    </row>
    <row r="20" spans="2:2" x14ac:dyDescent="0.25">
      <c r="B20" s="9" t="s">
        <v>221</v>
      </c>
    </row>
    <row r="21" spans="2:2" x14ac:dyDescent="0.25">
      <c r="B21" s="8" t="s">
        <v>222</v>
      </c>
    </row>
    <row r="22" spans="2:2" x14ac:dyDescent="0.25">
      <c r="B22" s="8" t="s">
        <v>223</v>
      </c>
    </row>
    <row r="23" spans="2:2" x14ac:dyDescent="0.25">
      <c r="B23" s="8" t="s">
        <v>224</v>
      </c>
    </row>
    <row r="24" spans="2:2" x14ac:dyDescent="0.25">
      <c r="B24" s="8" t="s">
        <v>225</v>
      </c>
    </row>
    <row r="25" spans="2:2" x14ac:dyDescent="0.25">
      <c r="B25" s="8"/>
    </row>
    <row r="26" spans="2:2" x14ac:dyDescent="0.25">
      <c r="B26" s="9" t="s">
        <v>226</v>
      </c>
    </row>
    <row r="27" spans="2:2" x14ac:dyDescent="0.25">
      <c r="B27" s="8" t="s">
        <v>227</v>
      </c>
    </row>
    <row r="28" spans="2:2" x14ac:dyDescent="0.25">
      <c r="B28" s="8" t="s">
        <v>228</v>
      </c>
    </row>
    <row r="29" spans="2:2" x14ac:dyDescent="0.25">
      <c r="B29" s="8" t="s">
        <v>229</v>
      </c>
    </row>
    <row r="30" spans="2:2" x14ac:dyDescent="0.25">
      <c r="B30" s="8" t="s">
        <v>230</v>
      </c>
    </row>
    <row r="31" spans="2:2" x14ac:dyDescent="0.25">
      <c r="B31" s="8" t="s">
        <v>231</v>
      </c>
    </row>
    <row r="32" spans="2:2" x14ac:dyDescent="0.25">
      <c r="B32" s="8" t="s">
        <v>232</v>
      </c>
    </row>
    <row r="33" spans="2:2" x14ac:dyDescent="0.25">
      <c r="B33" s="8" t="s">
        <v>233</v>
      </c>
    </row>
    <row r="34" spans="2:2" x14ac:dyDescent="0.25">
      <c r="B34" s="8" t="s">
        <v>234</v>
      </c>
    </row>
    <row r="35" spans="2:2" x14ac:dyDescent="0.25">
      <c r="B35" s="8" t="s">
        <v>235</v>
      </c>
    </row>
    <row r="36" spans="2:2" x14ac:dyDescent="0.25">
      <c r="B36" s="8" t="s">
        <v>236</v>
      </c>
    </row>
    <row r="37" spans="2:2" x14ac:dyDescent="0.25">
      <c r="B37" s="8"/>
    </row>
    <row r="38" spans="2:2" x14ac:dyDescent="0.25">
      <c r="B38" s="9" t="s">
        <v>237</v>
      </c>
    </row>
    <row r="39" spans="2:2" x14ac:dyDescent="0.25">
      <c r="B39" s="8" t="s">
        <v>238</v>
      </c>
    </row>
    <row r="40" spans="2:2" x14ac:dyDescent="0.25">
      <c r="B40" s="8" t="s">
        <v>239</v>
      </c>
    </row>
    <row r="41" spans="2:2" x14ac:dyDescent="0.25">
      <c r="B41" s="8" t="s">
        <v>240</v>
      </c>
    </row>
    <row r="42" spans="2:2" x14ac:dyDescent="0.25">
      <c r="B42" s="8" t="s">
        <v>241</v>
      </c>
    </row>
    <row r="43" spans="2:2" x14ac:dyDescent="0.25">
      <c r="B43" s="8" t="s">
        <v>242</v>
      </c>
    </row>
    <row r="44" spans="2:2" x14ac:dyDescent="0.25">
      <c r="B44" s="8" t="s">
        <v>243</v>
      </c>
    </row>
    <row r="45" spans="2:2" x14ac:dyDescent="0.25">
      <c r="B45" s="8" t="s">
        <v>244</v>
      </c>
    </row>
    <row r="46" spans="2:2" x14ac:dyDescent="0.25">
      <c r="B46" s="8" t="s">
        <v>245</v>
      </c>
    </row>
    <row r="47" spans="2:2" x14ac:dyDescent="0.25">
      <c r="B47" s="8" t="s">
        <v>246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Stückliste</vt:lpstr>
      <vt:lpstr>Hinweise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Julian Tasche</cp:lastModifiedBy>
  <cp:revision>0</cp:revision>
  <dcterms:created xsi:type="dcterms:W3CDTF">2026-04-30T20:02:08Z</dcterms:created>
  <dcterms:modified xsi:type="dcterms:W3CDTF">2026-06-06T10:59:21Z</dcterms:modified>
  <dc:language>en-US</dc:language>
</cp:coreProperties>
</file>